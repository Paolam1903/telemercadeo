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4 Liquidación TMK/Año 2026/02 Febrero/tmk/"/>
    </mc:Choice>
  </mc:AlternateContent>
  <xr:revisionPtr revIDLastSave="98" documentId="11_E95008F7534E980F6235547658484EBB89F0B472" xr6:coauthVersionLast="47" xr6:coauthVersionMax="47" xr10:uidLastSave="{36D48123-6A84-4DE0-953A-3E3D3FFF149B}"/>
  <bookViews>
    <workbookView xWindow="-120" yWindow="-120" windowWidth="29040" windowHeight="15720" xr2:uid="{00000000-000D-0000-FFFF-FFFF00000000}"/>
  </bookViews>
  <sheets>
    <sheet name="Datos" sheetId="1" r:id="rId1"/>
  </sheets>
  <definedNames>
    <definedName name="_xlnm._FilterDatabase" localSheetId="0" hidden="1">Datos!$A$1:$I$21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1" l="1"/>
  <c r="H18" i="1"/>
  <c r="H19" i="1"/>
  <c r="H20" i="1"/>
  <c r="H21" i="1"/>
  <c r="H12" i="1"/>
  <c r="H13" i="1"/>
  <c r="H14" i="1"/>
  <c r="H15" i="1"/>
  <c r="H16" i="1"/>
</calcChain>
</file>

<file path=xl/sharedStrings.xml><?xml version="1.0" encoding="utf-8"?>
<sst xmlns="http://schemas.openxmlformats.org/spreadsheetml/2006/main" count="109" uniqueCount="22">
  <si>
    <t>Año</t>
  </si>
  <si>
    <t>Mes</t>
  </si>
  <si>
    <t>Concepto</t>
  </si>
  <si>
    <t>Rol</t>
  </si>
  <si>
    <t>Nombre</t>
  </si>
  <si>
    <t>Meta</t>
  </si>
  <si>
    <t>Ejecutado</t>
  </si>
  <si>
    <t>% Cumplimiento</t>
  </si>
  <si>
    <t>Pago cumplimiento</t>
  </si>
  <si>
    <t>Enero</t>
  </si>
  <si>
    <t>Venta directa - salarial</t>
  </si>
  <si>
    <t>Auxiliar</t>
  </si>
  <si>
    <t>Natalia  Giraldo Galeano</t>
  </si>
  <si>
    <t>0%</t>
  </si>
  <si>
    <t>Raiza Lorena Urzola Lora</t>
  </si>
  <si>
    <t>Yessica Yulieth Moreno</t>
  </si>
  <si>
    <t>Referido - bono</t>
  </si>
  <si>
    <t>Líder</t>
  </si>
  <si>
    <t>Maria Deisy Gil Gomez</t>
  </si>
  <si>
    <t>Pyme Móvil - salarial</t>
  </si>
  <si>
    <t>CLOUND - salarial</t>
  </si>
  <si>
    <t>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</si>
</sst>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  <xf numFmtId="164" fontId="0" fillId="0" borderId="0" xfId="1" applyNumberFormat="1" applyFont="1"/>
    <xf numFmtId="165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H25" sqref="H25"/>
    </sheetView>
  </sheetViews>
  <sheetFormatPr baseColWidth="10" defaultColWidth="9.140625" defaultRowHeight="15" x14ac:dyDescent="0.25"/>
  <cols>
    <col min="3" max="3" width="20.85546875" bestFit="1" customWidth="1"/>
    <col min="5" max="5" width="22.5703125" bestFit="1" customWidth="1"/>
    <col min="6" max="6" width="11.5703125" bestFit="1" customWidth="1"/>
    <col min="8" max="8" width="20.28515625" bestFit="1" customWidth="1"/>
    <col min="9" max="9" width="22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2026</v>
      </c>
      <c r="B2" t="s">
        <v>9</v>
      </c>
      <c r="C2" t="s">
        <v>10</v>
      </c>
      <c r="D2" t="s">
        <v>17</v>
      </c>
      <c r="E2" t="s">
        <v>18</v>
      </c>
      <c r="F2">
        <v>60</v>
      </c>
      <c r="G2">
        <v>26.5</v>
      </c>
      <c r="H2">
        <v>0.442</v>
      </c>
      <c r="I2" t="s">
        <v>13</v>
      </c>
    </row>
    <row r="3" spans="1:9" x14ac:dyDescent="0.25">
      <c r="A3">
        <v>2026</v>
      </c>
      <c r="B3" t="s">
        <v>9</v>
      </c>
      <c r="C3" t="s">
        <v>16</v>
      </c>
      <c r="D3" t="s">
        <v>17</v>
      </c>
      <c r="E3" t="s">
        <v>18</v>
      </c>
      <c r="F3">
        <v>150</v>
      </c>
      <c r="G3">
        <v>185</v>
      </c>
      <c r="H3" s="3">
        <v>1.2333333333333334</v>
      </c>
      <c r="I3" t="s">
        <v>13</v>
      </c>
    </row>
    <row r="4" spans="1:9" x14ac:dyDescent="0.25">
      <c r="A4">
        <v>2026</v>
      </c>
      <c r="B4" t="s">
        <v>9</v>
      </c>
      <c r="C4" t="s">
        <v>19</v>
      </c>
      <c r="D4" t="s">
        <v>17</v>
      </c>
      <c r="E4" t="s">
        <v>18</v>
      </c>
      <c r="F4">
        <v>0</v>
      </c>
      <c r="G4">
        <v>14</v>
      </c>
      <c r="H4" s="3">
        <v>0</v>
      </c>
      <c r="I4" t="s">
        <v>13</v>
      </c>
    </row>
    <row r="5" spans="1:9" x14ac:dyDescent="0.25">
      <c r="A5">
        <v>2026</v>
      </c>
      <c r="B5" t="s">
        <v>9</v>
      </c>
      <c r="C5" t="s">
        <v>20</v>
      </c>
      <c r="D5" t="s">
        <v>17</v>
      </c>
      <c r="E5" t="s">
        <v>18</v>
      </c>
      <c r="F5">
        <v>0</v>
      </c>
      <c r="G5">
        <v>0</v>
      </c>
      <c r="H5" s="3">
        <v>0</v>
      </c>
      <c r="I5" t="s">
        <v>13</v>
      </c>
    </row>
    <row r="6" spans="1:9" x14ac:dyDescent="0.25">
      <c r="A6">
        <v>2026</v>
      </c>
      <c r="B6" t="s">
        <v>9</v>
      </c>
      <c r="C6" t="s">
        <v>10</v>
      </c>
      <c r="D6" t="s">
        <v>11</v>
      </c>
      <c r="E6" t="s">
        <v>12</v>
      </c>
      <c r="F6">
        <v>20</v>
      </c>
      <c r="G6">
        <v>22</v>
      </c>
      <c r="H6">
        <v>1.1000000000000001</v>
      </c>
      <c r="I6" t="s">
        <v>13</v>
      </c>
    </row>
    <row r="7" spans="1:9" x14ac:dyDescent="0.25">
      <c r="A7">
        <v>2026</v>
      </c>
      <c r="B7" t="s">
        <v>9</v>
      </c>
      <c r="C7" t="s">
        <v>16</v>
      </c>
      <c r="D7" t="s">
        <v>11</v>
      </c>
      <c r="E7" t="s">
        <v>12</v>
      </c>
      <c r="F7">
        <v>40</v>
      </c>
      <c r="G7" s="2">
        <v>63</v>
      </c>
      <c r="H7" s="3">
        <v>1.575</v>
      </c>
      <c r="I7" t="s">
        <v>13</v>
      </c>
    </row>
    <row r="8" spans="1:9" x14ac:dyDescent="0.25">
      <c r="A8">
        <v>2026</v>
      </c>
      <c r="B8" t="s">
        <v>9</v>
      </c>
      <c r="C8" t="s">
        <v>10</v>
      </c>
      <c r="D8" t="s">
        <v>11</v>
      </c>
      <c r="E8" t="s">
        <v>14</v>
      </c>
      <c r="F8">
        <v>20</v>
      </c>
      <c r="G8">
        <v>1</v>
      </c>
      <c r="H8">
        <v>0.05</v>
      </c>
      <c r="I8" t="s">
        <v>13</v>
      </c>
    </row>
    <row r="9" spans="1:9" x14ac:dyDescent="0.25">
      <c r="A9">
        <v>2026</v>
      </c>
      <c r="B9" t="s">
        <v>9</v>
      </c>
      <c r="C9" t="s">
        <v>16</v>
      </c>
      <c r="D9" t="s">
        <v>11</v>
      </c>
      <c r="E9" t="s">
        <v>14</v>
      </c>
      <c r="F9">
        <v>40</v>
      </c>
      <c r="G9" s="2">
        <v>75</v>
      </c>
      <c r="H9" s="3">
        <v>1.875</v>
      </c>
      <c r="I9" t="s">
        <v>13</v>
      </c>
    </row>
    <row r="10" spans="1:9" x14ac:dyDescent="0.25">
      <c r="A10">
        <v>2026</v>
      </c>
      <c r="B10" t="s">
        <v>9</v>
      </c>
      <c r="C10" t="s">
        <v>10</v>
      </c>
      <c r="D10" t="s">
        <v>11</v>
      </c>
      <c r="E10" t="s">
        <v>15</v>
      </c>
      <c r="F10">
        <v>20</v>
      </c>
      <c r="G10">
        <v>3</v>
      </c>
      <c r="H10">
        <v>0.15</v>
      </c>
      <c r="I10" t="s">
        <v>13</v>
      </c>
    </row>
    <row r="11" spans="1:9" x14ac:dyDescent="0.25">
      <c r="A11">
        <v>2026</v>
      </c>
      <c r="B11" t="s">
        <v>9</v>
      </c>
      <c r="C11" t="s">
        <v>16</v>
      </c>
      <c r="D11" t="s">
        <v>11</v>
      </c>
      <c r="E11" t="s">
        <v>15</v>
      </c>
      <c r="F11">
        <v>40</v>
      </c>
      <c r="G11" s="2">
        <v>47</v>
      </c>
      <c r="H11" s="3">
        <v>1.175</v>
      </c>
      <c r="I11" t="s">
        <v>13</v>
      </c>
    </row>
    <row r="12" spans="1:9" x14ac:dyDescent="0.25">
      <c r="A12">
        <v>2026</v>
      </c>
      <c r="B12" t="s">
        <v>21</v>
      </c>
      <c r="C12" t="s">
        <v>10</v>
      </c>
      <c r="D12" t="s">
        <v>17</v>
      </c>
      <c r="E12" t="s">
        <v>18</v>
      </c>
      <c r="F12">
        <v>75</v>
      </c>
      <c r="G12">
        <v>60.5</v>
      </c>
      <c r="H12" s="3">
        <f>G12/F12</f>
        <v>0.80666666666666664</v>
      </c>
      <c r="I12" t="s">
        <v>13</v>
      </c>
    </row>
    <row r="13" spans="1:9" x14ac:dyDescent="0.25">
      <c r="A13">
        <v>2026</v>
      </c>
      <c r="B13" t="s">
        <v>21</v>
      </c>
      <c r="C13" t="s">
        <v>16</v>
      </c>
      <c r="D13" t="s">
        <v>17</v>
      </c>
      <c r="E13" t="s">
        <v>18</v>
      </c>
      <c r="F13">
        <v>150</v>
      </c>
      <c r="G13">
        <v>170</v>
      </c>
      <c r="H13" s="3">
        <f>G13/F13</f>
        <v>1.1333333333333333</v>
      </c>
      <c r="I13" t="s">
        <v>13</v>
      </c>
    </row>
    <row r="14" spans="1:9" x14ac:dyDescent="0.25">
      <c r="A14">
        <v>2026</v>
      </c>
      <c r="B14" t="s">
        <v>21</v>
      </c>
      <c r="C14" t="s">
        <v>19</v>
      </c>
      <c r="D14" t="s">
        <v>17</v>
      </c>
      <c r="E14" t="s">
        <v>18</v>
      </c>
      <c r="F14">
        <v>60</v>
      </c>
      <c r="G14">
        <v>3</v>
      </c>
      <c r="H14" s="3">
        <f>G14/F14</f>
        <v>0.05</v>
      </c>
      <c r="I14" t="s">
        <v>13</v>
      </c>
    </row>
    <row r="15" spans="1:9" x14ac:dyDescent="0.25">
      <c r="A15">
        <v>2026</v>
      </c>
      <c r="B15" t="s">
        <v>21</v>
      </c>
      <c r="C15" t="s">
        <v>20</v>
      </c>
      <c r="D15" t="s">
        <v>17</v>
      </c>
      <c r="E15" t="s">
        <v>18</v>
      </c>
      <c r="F15" s="4">
        <v>100000</v>
      </c>
      <c r="G15">
        <v>0</v>
      </c>
      <c r="H15" s="3">
        <f>G15/F15</f>
        <v>0</v>
      </c>
      <c r="I15" t="s">
        <v>13</v>
      </c>
    </row>
    <row r="16" spans="1:9" x14ac:dyDescent="0.25">
      <c r="A16">
        <v>2026</v>
      </c>
      <c r="B16" t="s">
        <v>21</v>
      </c>
      <c r="C16" t="s">
        <v>10</v>
      </c>
      <c r="D16" t="s">
        <v>11</v>
      </c>
      <c r="E16" t="s">
        <v>12</v>
      </c>
      <c r="F16">
        <v>25</v>
      </c>
      <c r="G16">
        <v>24</v>
      </c>
      <c r="H16" s="3">
        <f>G16/F16</f>
        <v>0.96</v>
      </c>
      <c r="I16" t="s">
        <v>13</v>
      </c>
    </row>
    <row r="17" spans="1:9" x14ac:dyDescent="0.25">
      <c r="A17">
        <v>2026</v>
      </c>
      <c r="B17" t="s">
        <v>21</v>
      </c>
      <c r="C17" t="s">
        <v>16</v>
      </c>
      <c r="D17" t="s">
        <v>11</v>
      </c>
      <c r="E17" t="s">
        <v>12</v>
      </c>
      <c r="F17">
        <v>50</v>
      </c>
      <c r="G17">
        <v>61</v>
      </c>
      <c r="H17" s="3">
        <f>G17/F17</f>
        <v>1.22</v>
      </c>
      <c r="I17" t="s">
        <v>13</v>
      </c>
    </row>
    <row r="18" spans="1:9" x14ac:dyDescent="0.25">
      <c r="A18">
        <v>2026</v>
      </c>
      <c r="B18" t="s">
        <v>21</v>
      </c>
      <c r="C18" t="s">
        <v>10</v>
      </c>
      <c r="D18" t="s">
        <v>11</v>
      </c>
      <c r="E18" t="s">
        <v>14</v>
      </c>
      <c r="F18">
        <v>25</v>
      </c>
      <c r="G18">
        <v>17</v>
      </c>
      <c r="H18" s="3">
        <f>G18/F18</f>
        <v>0.68</v>
      </c>
      <c r="I18" t="s">
        <v>13</v>
      </c>
    </row>
    <row r="19" spans="1:9" x14ac:dyDescent="0.25">
      <c r="A19">
        <v>2026</v>
      </c>
      <c r="B19" t="s">
        <v>21</v>
      </c>
      <c r="C19" t="s">
        <v>16</v>
      </c>
      <c r="D19" t="s">
        <v>11</v>
      </c>
      <c r="E19" t="s">
        <v>14</v>
      </c>
      <c r="F19">
        <v>50</v>
      </c>
      <c r="G19">
        <v>58</v>
      </c>
      <c r="H19" s="3">
        <f>G19/F19</f>
        <v>1.1599999999999999</v>
      </c>
      <c r="I19" t="s">
        <v>13</v>
      </c>
    </row>
    <row r="20" spans="1:9" x14ac:dyDescent="0.25">
      <c r="A20">
        <v>2026</v>
      </c>
      <c r="B20" t="s">
        <v>21</v>
      </c>
      <c r="C20" t="s">
        <v>10</v>
      </c>
      <c r="D20" t="s">
        <v>11</v>
      </c>
      <c r="E20" t="s">
        <v>15</v>
      </c>
      <c r="F20">
        <v>25</v>
      </c>
      <c r="G20">
        <v>13</v>
      </c>
      <c r="H20" s="3">
        <f>G20/F20</f>
        <v>0.52</v>
      </c>
      <c r="I20" t="s">
        <v>13</v>
      </c>
    </row>
    <row r="21" spans="1:9" x14ac:dyDescent="0.25">
      <c r="A21">
        <v>2026</v>
      </c>
      <c r="B21" t="s">
        <v>21</v>
      </c>
      <c r="C21" t="s">
        <v>16</v>
      </c>
      <c r="D21" t="s">
        <v>11</v>
      </c>
      <c r="E21" t="s">
        <v>15</v>
      </c>
      <c r="F21">
        <v>50</v>
      </c>
      <c r="G21">
        <v>52</v>
      </c>
      <c r="H21" s="3">
        <f>G21/F21</f>
        <v>1.04</v>
      </c>
      <c r="I21" t="s">
        <v>13</v>
      </c>
    </row>
  </sheetData>
  <autoFilter ref="A1:I21" xr:uid="{00000000-0001-0000-0000-000000000000}">
    <sortState xmlns:xlrd2="http://schemas.microsoft.com/office/spreadsheetml/2017/richdata2" ref="A2:I21">
      <sortCondition ref="B2:B21"/>
      <sortCondition ref="E2:E2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Paola Andrea Morales Serna</cp:lastModifiedBy>
  <dcterms:created xsi:type="dcterms:W3CDTF">2026-02-17T16:01:15Z</dcterms:created>
  <dcterms:modified xsi:type="dcterms:W3CDTF">2026-03-18T13:08:33Z</dcterms:modified>
</cp:coreProperties>
</file>