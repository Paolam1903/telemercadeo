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Año 2026/08 Agosto/tmk/"/>
    </mc:Choice>
  </mc:AlternateContent>
  <xr:revisionPtr revIDLastSave="321" documentId="11_E95008F7534E980F6235547658484EBB89F0B472" xr6:coauthVersionLast="47" xr6:coauthVersionMax="47" xr10:uidLastSave="{66E8C60A-A02E-4EBC-855F-1DDFBA51944C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Datos!$A$1:$I$69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1" l="1"/>
  <c r="H71" i="1"/>
  <c r="H72" i="1"/>
  <c r="H73" i="1"/>
  <c r="H74" i="1"/>
  <c r="H75" i="1"/>
  <c r="H76" i="1"/>
  <c r="H77" i="1"/>
  <c r="H69" i="1"/>
  <c r="H68" i="1"/>
  <c r="H67" i="1" l="1"/>
  <c r="H66" i="1"/>
  <c r="H65" i="1"/>
  <c r="H64" i="1"/>
  <c r="H63" i="1"/>
  <c r="H62" i="1"/>
  <c r="H53" i="1"/>
  <c r="H54" i="1"/>
  <c r="H55" i="1"/>
  <c r="H56" i="1"/>
  <c r="H57" i="1"/>
  <c r="H58" i="1"/>
  <c r="H59" i="1"/>
  <c r="H60" i="1"/>
  <c r="H61" i="1"/>
  <c r="H52" i="1"/>
  <c r="H43" i="1"/>
  <c r="H44" i="1"/>
  <c r="H45" i="1"/>
  <c r="H42" i="1"/>
  <c r="H47" i="1" l="1"/>
  <c r="H48" i="1"/>
  <c r="H49" i="1"/>
  <c r="H50" i="1"/>
  <c r="H51" i="1"/>
  <c r="H46" i="1"/>
  <c r="H33" i="1"/>
  <c r="H34" i="1"/>
  <c r="H35" i="1"/>
  <c r="H36" i="1"/>
  <c r="H37" i="1"/>
  <c r="H38" i="1"/>
  <c r="H39" i="1"/>
  <c r="H40" i="1"/>
  <c r="H41" i="1"/>
  <c r="H32" i="1"/>
  <c r="H23" i="1"/>
  <c r="H24" i="1"/>
  <c r="H25" i="1"/>
  <c r="H26" i="1"/>
  <c r="H27" i="1"/>
  <c r="H28" i="1"/>
  <c r="H29" i="1"/>
  <c r="H30" i="1"/>
  <c r="H31" i="1"/>
  <c r="H22" i="1"/>
  <c r="H12" i="1"/>
  <c r="H13" i="1"/>
  <c r="H14" i="1"/>
  <c r="H15" i="1"/>
  <c r="H16" i="1"/>
  <c r="H17" i="1"/>
  <c r="H18" i="1"/>
  <c r="H19" i="1"/>
  <c r="H20" i="1"/>
  <c r="H21" i="1"/>
</calcChain>
</file>

<file path=xl/sharedStrings.xml><?xml version="1.0" encoding="utf-8"?>
<sst xmlns="http://schemas.openxmlformats.org/spreadsheetml/2006/main" count="343" uniqueCount="28">
  <si>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</si>
  <si>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</si>
  <si>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</si>
  <si>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</si>
  <si>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</si>
  <si>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</si>
  <si>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</si>
  <si>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</si>
  <si>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</si>
  <si>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Enero</t>
  </si>
  <si>
    <t>Venta directa - salarial</t>
  </si>
  <si>
    <t>Líder</t>
  </si>
  <si>
    <t>Maria Deisy Gil Gomez</t>
  </si>
  <si>
    <t>0%</t>
  </si>
  <si>
    <t>Referido - bono</t>
  </si>
  <si>
    <t>Pyme Móvil - salarial</t>
  </si>
  <si>
    <t>CLOUND - salarial</t>
  </si>
  <si>
    <t>Auxiliar</t>
  </si>
  <si>
    <t>Natalia  Giraldo Galeano</t>
  </si>
  <si>
    <t>Raiza Lorena Urzola Lora</t>
  </si>
  <si>
    <t>Yessica Yulieth Moreno</t>
  </si>
  <si>
    <t>Febrero</t>
  </si>
  <si>
    <t>Marzo</t>
  </si>
  <si>
    <t>Abril</t>
  </si>
  <si>
    <t>Mayo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</si>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</sst>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64" fontId="0" fillId="0" borderId="0" xfId="1" applyNumberFormat="1" applyFon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52" workbookViewId="0">
      <selection activeCell="G74" sqref="G74:G75"/>
    </sheetView>
  </sheetViews>
  <sheetFormatPr baseColWidth="10" defaultColWidth="9.140625" defaultRowHeight="15" x14ac:dyDescent="0.25"/>
  <cols>
    <col min="3" max="3" width="20.85546875" bestFit="1" customWidth="1"/>
    <col min="5" max="5" width="22.5703125" bestFit="1" customWidth="1"/>
    <col min="6" max="6" width="11.5703125" bestFit="1" customWidth="1"/>
    <col min="7" max="7" width="14.28515625" bestFit="1" customWidth="1"/>
    <col min="8" max="8" width="20.28515625" bestFit="1" customWidth="1"/>
    <col min="9" max="9" width="2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 t="s">
        <v>9</v>
      </c>
      <c r="C2" t="s">
        <v>10</v>
      </c>
      <c r="D2" t="s">
        <v>11</v>
      </c>
      <c r="E2" t="s">
        <v>12</v>
      </c>
      <c r="F2">
        <v>60</v>
      </c>
      <c r="G2">
        <v>26.5</v>
      </c>
      <c r="H2">
        <v>0.442</v>
      </c>
      <c r="I2" t="s">
        <v>13</v>
      </c>
    </row>
    <row r="3" spans="1:9" x14ac:dyDescent="0.25">
      <c r="A3">
        <v>2026</v>
      </c>
      <c r="B3" t="s">
        <v>9</v>
      </c>
      <c r="C3" t="s">
        <v>14</v>
      </c>
      <c r="D3" t="s">
        <v>11</v>
      </c>
      <c r="E3" t="s">
        <v>12</v>
      </c>
      <c r="F3">
        <v>150</v>
      </c>
      <c r="G3">
        <v>186</v>
      </c>
      <c r="H3" s="3">
        <v>1.2333333333333334</v>
      </c>
      <c r="I3" t="s">
        <v>13</v>
      </c>
    </row>
    <row r="4" spans="1:9" x14ac:dyDescent="0.25">
      <c r="A4">
        <v>2026</v>
      </c>
      <c r="B4" t="s">
        <v>9</v>
      </c>
      <c r="C4" t="s">
        <v>15</v>
      </c>
      <c r="D4" t="s">
        <v>11</v>
      </c>
      <c r="E4" t="s">
        <v>12</v>
      </c>
      <c r="F4">
        <v>0</v>
      </c>
      <c r="G4">
        <v>14</v>
      </c>
      <c r="H4" s="3">
        <v>0</v>
      </c>
      <c r="I4" t="s">
        <v>13</v>
      </c>
    </row>
    <row r="5" spans="1:9" x14ac:dyDescent="0.25">
      <c r="A5">
        <v>2026</v>
      </c>
      <c r="B5" t="s">
        <v>9</v>
      </c>
      <c r="C5" t="s">
        <v>16</v>
      </c>
      <c r="D5" t="s">
        <v>11</v>
      </c>
      <c r="E5" t="s">
        <v>12</v>
      </c>
      <c r="F5" s="4">
        <v>100000</v>
      </c>
      <c r="G5" s="4">
        <v>215424</v>
      </c>
      <c r="H5" s="3">
        <v>0</v>
      </c>
      <c r="I5" t="s">
        <v>13</v>
      </c>
    </row>
    <row r="6" spans="1:9" x14ac:dyDescent="0.25">
      <c r="A6">
        <v>2026</v>
      </c>
      <c r="B6" t="s">
        <v>9</v>
      </c>
      <c r="C6" t="s">
        <v>10</v>
      </c>
      <c r="D6" t="s">
        <v>17</v>
      </c>
      <c r="E6" t="s">
        <v>18</v>
      </c>
      <c r="F6">
        <v>20</v>
      </c>
      <c r="G6">
        <v>22</v>
      </c>
      <c r="H6">
        <v>1.1000000000000001</v>
      </c>
      <c r="I6" t="s">
        <v>13</v>
      </c>
    </row>
    <row r="7" spans="1:9" x14ac:dyDescent="0.25">
      <c r="A7">
        <v>2026</v>
      </c>
      <c r="B7" t="s">
        <v>9</v>
      </c>
      <c r="C7" t="s">
        <v>14</v>
      </c>
      <c r="D7" t="s">
        <v>17</v>
      </c>
      <c r="E7" t="s">
        <v>18</v>
      </c>
      <c r="F7">
        <v>40</v>
      </c>
      <c r="G7" s="2">
        <v>63</v>
      </c>
      <c r="H7" s="3">
        <v>1.575</v>
      </c>
      <c r="I7" t="s">
        <v>13</v>
      </c>
    </row>
    <row r="8" spans="1:9" x14ac:dyDescent="0.25">
      <c r="A8">
        <v>2026</v>
      </c>
      <c r="B8" t="s">
        <v>9</v>
      </c>
      <c r="C8" t="s">
        <v>10</v>
      </c>
      <c r="D8" t="s">
        <v>17</v>
      </c>
      <c r="E8" t="s">
        <v>19</v>
      </c>
      <c r="F8">
        <v>20</v>
      </c>
      <c r="G8">
        <v>1</v>
      </c>
      <c r="H8">
        <v>0.05</v>
      </c>
      <c r="I8" t="s">
        <v>13</v>
      </c>
    </row>
    <row r="9" spans="1:9" x14ac:dyDescent="0.25">
      <c r="A9">
        <v>2026</v>
      </c>
      <c r="B9" t="s">
        <v>9</v>
      </c>
      <c r="C9" t="s">
        <v>14</v>
      </c>
      <c r="D9" t="s">
        <v>17</v>
      </c>
      <c r="E9" t="s">
        <v>19</v>
      </c>
      <c r="F9">
        <v>40</v>
      </c>
      <c r="G9" s="2">
        <v>75</v>
      </c>
      <c r="H9" s="3">
        <v>1.875</v>
      </c>
      <c r="I9" t="s">
        <v>13</v>
      </c>
    </row>
    <row r="10" spans="1:9" x14ac:dyDescent="0.25">
      <c r="A10">
        <v>2026</v>
      </c>
      <c r="B10" t="s">
        <v>9</v>
      </c>
      <c r="C10" t="s">
        <v>10</v>
      </c>
      <c r="D10" t="s">
        <v>17</v>
      </c>
      <c r="E10" t="s">
        <v>20</v>
      </c>
      <c r="F10">
        <v>20</v>
      </c>
      <c r="G10">
        <v>3</v>
      </c>
      <c r="H10">
        <v>0.15</v>
      </c>
      <c r="I10" t="s">
        <v>13</v>
      </c>
    </row>
    <row r="11" spans="1:9" x14ac:dyDescent="0.25">
      <c r="A11">
        <v>2026</v>
      </c>
      <c r="B11" t="s">
        <v>9</v>
      </c>
      <c r="C11" t="s">
        <v>14</v>
      </c>
      <c r="D11" t="s">
        <v>17</v>
      </c>
      <c r="E11" t="s">
        <v>20</v>
      </c>
      <c r="F11">
        <v>40</v>
      </c>
      <c r="G11" s="2">
        <v>47</v>
      </c>
      <c r="H11" s="3">
        <v>1.175</v>
      </c>
      <c r="I11" t="s">
        <v>13</v>
      </c>
    </row>
    <row r="12" spans="1:9" x14ac:dyDescent="0.25">
      <c r="A12">
        <v>2026</v>
      </c>
      <c r="B12" t="s">
        <v>21</v>
      </c>
      <c r="C12" t="s">
        <v>10</v>
      </c>
      <c r="D12" t="s">
        <v>11</v>
      </c>
      <c r="E12" t="s">
        <v>12</v>
      </c>
      <c r="F12">
        <v>75</v>
      </c>
      <c r="G12">
        <v>60.5</v>
      </c>
      <c r="H12" s="3">
        <f t="shared" ref="H12:H21" si="0">G12/F12</f>
        <v>0.80666666666666664</v>
      </c>
      <c r="I12" t="s">
        <v>13</v>
      </c>
    </row>
    <row r="13" spans="1:9" x14ac:dyDescent="0.25">
      <c r="A13">
        <v>2026</v>
      </c>
      <c r="B13" t="s">
        <v>21</v>
      </c>
      <c r="C13" t="s">
        <v>14</v>
      </c>
      <c r="D13" t="s">
        <v>11</v>
      </c>
      <c r="E13" t="s">
        <v>12</v>
      </c>
      <c r="F13">
        <v>150</v>
      </c>
      <c r="G13">
        <v>170</v>
      </c>
      <c r="H13" s="3">
        <f t="shared" si="0"/>
        <v>1.1333333333333333</v>
      </c>
      <c r="I13" t="s">
        <v>13</v>
      </c>
    </row>
    <row r="14" spans="1:9" x14ac:dyDescent="0.25">
      <c r="A14">
        <v>2026</v>
      </c>
      <c r="B14" t="s">
        <v>21</v>
      </c>
      <c r="C14" t="s">
        <v>15</v>
      </c>
      <c r="D14" t="s">
        <v>11</v>
      </c>
      <c r="E14" t="s">
        <v>12</v>
      </c>
      <c r="F14">
        <v>60</v>
      </c>
      <c r="G14">
        <v>3</v>
      </c>
      <c r="H14" s="3">
        <f t="shared" si="0"/>
        <v>0.05</v>
      </c>
      <c r="I14" t="s">
        <v>13</v>
      </c>
    </row>
    <row r="15" spans="1:9" x14ac:dyDescent="0.25">
      <c r="A15">
        <v>2026</v>
      </c>
      <c r="B15" t="s">
        <v>21</v>
      </c>
      <c r="C15" t="s">
        <v>16</v>
      </c>
      <c r="D15" t="s">
        <v>11</v>
      </c>
      <c r="E15" t="s">
        <v>12</v>
      </c>
      <c r="F15" s="4">
        <v>100000</v>
      </c>
      <c r="G15" s="4">
        <v>511000</v>
      </c>
      <c r="H15" s="3">
        <f>G5/F15</f>
        <v>2.1542400000000002</v>
      </c>
      <c r="I15" t="s">
        <v>13</v>
      </c>
    </row>
    <row r="16" spans="1:9" x14ac:dyDescent="0.25">
      <c r="A16">
        <v>2026</v>
      </c>
      <c r="B16" t="s">
        <v>21</v>
      </c>
      <c r="C16" t="s">
        <v>10</v>
      </c>
      <c r="D16" t="s">
        <v>17</v>
      </c>
      <c r="E16" t="s">
        <v>18</v>
      </c>
      <c r="F16">
        <v>25</v>
      </c>
      <c r="G16">
        <v>24</v>
      </c>
      <c r="H16" s="3">
        <f t="shared" si="0"/>
        <v>0.96</v>
      </c>
      <c r="I16" t="s">
        <v>13</v>
      </c>
    </row>
    <row r="17" spans="1:9" x14ac:dyDescent="0.25">
      <c r="A17">
        <v>2026</v>
      </c>
      <c r="B17" t="s">
        <v>21</v>
      </c>
      <c r="C17" t="s">
        <v>14</v>
      </c>
      <c r="D17" t="s">
        <v>17</v>
      </c>
      <c r="E17" t="s">
        <v>18</v>
      </c>
      <c r="F17">
        <v>50</v>
      </c>
      <c r="G17">
        <v>61</v>
      </c>
      <c r="H17" s="3">
        <f t="shared" si="0"/>
        <v>1.22</v>
      </c>
      <c r="I17" t="s">
        <v>13</v>
      </c>
    </row>
    <row r="18" spans="1:9" x14ac:dyDescent="0.25">
      <c r="A18">
        <v>2026</v>
      </c>
      <c r="B18" t="s">
        <v>21</v>
      </c>
      <c r="C18" t="s">
        <v>10</v>
      </c>
      <c r="D18" t="s">
        <v>17</v>
      </c>
      <c r="E18" t="s">
        <v>19</v>
      </c>
      <c r="F18">
        <v>25</v>
      </c>
      <c r="G18">
        <v>17</v>
      </c>
      <c r="H18" s="3">
        <f t="shared" si="0"/>
        <v>0.68</v>
      </c>
      <c r="I18" t="s">
        <v>13</v>
      </c>
    </row>
    <row r="19" spans="1:9" x14ac:dyDescent="0.25">
      <c r="A19">
        <v>2026</v>
      </c>
      <c r="B19" t="s">
        <v>21</v>
      </c>
      <c r="C19" t="s">
        <v>14</v>
      </c>
      <c r="D19" t="s">
        <v>17</v>
      </c>
      <c r="E19" t="s">
        <v>19</v>
      </c>
      <c r="F19">
        <v>50</v>
      </c>
      <c r="G19">
        <v>58</v>
      </c>
      <c r="H19" s="3">
        <f t="shared" si="0"/>
        <v>1.1599999999999999</v>
      </c>
      <c r="I19" t="s">
        <v>13</v>
      </c>
    </row>
    <row r="20" spans="1:9" x14ac:dyDescent="0.25">
      <c r="A20">
        <v>2026</v>
      </c>
      <c r="B20" t="s">
        <v>21</v>
      </c>
      <c r="C20" t="s">
        <v>10</v>
      </c>
      <c r="D20" t="s">
        <v>17</v>
      </c>
      <c r="E20" t="s">
        <v>20</v>
      </c>
      <c r="F20">
        <v>25</v>
      </c>
      <c r="G20">
        <v>13</v>
      </c>
      <c r="H20" s="3">
        <f t="shared" si="0"/>
        <v>0.52</v>
      </c>
      <c r="I20" t="s">
        <v>13</v>
      </c>
    </row>
    <row r="21" spans="1:9" x14ac:dyDescent="0.25">
      <c r="A21">
        <v>2026</v>
      </c>
      <c r="B21" t="s">
        <v>21</v>
      </c>
      <c r="C21" t="s">
        <v>14</v>
      </c>
      <c r="D21" t="s">
        <v>17</v>
      </c>
      <c r="E21" t="s">
        <v>20</v>
      </c>
      <c r="F21">
        <v>50</v>
      </c>
      <c r="G21">
        <v>52</v>
      </c>
      <c r="H21" s="3">
        <f t="shared" si="0"/>
        <v>1.04</v>
      </c>
      <c r="I21" t="s">
        <v>13</v>
      </c>
    </row>
    <row r="22" spans="1:9" x14ac:dyDescent="0.25">
      <c r="A22">
        <v>2026</v>
      </c>
      <c r="B22" t="s">
        <v>22</v>
      </c>
      <c r="C22" t="s">
        <v>10</v>
      </c>
      <c r="D22" t="s">
        <v>11</v>
      </c>
      <c r="E22" t="s">
        <v>12</v>
      </c>
      <c r="F22">
        <v>75</v>
      </c>
      <c r="G22">
        <v>46</v>
      </c>
      <c r="H22" s="3">
        <f>G22/F22</f>
        <v>0.61333333333333329</v>
      </c>
      <c r="I22" t="s">
        <v>13</v>
      </c>
    </row>
    <row r="23" spans="1:9" x14ac:dyDescent="0.25">
      <c r="A23">
        <v>2026</v>
      </c>
      <c r="B23" t="s">
        <v>22</v>
      </c>
      <c r="C23" t="s">
        <v>14</v>
      </c>
      <c r="D23" t="s">
        <v>11</v>
      </c>
      <c r="E23" t="s">
        <v>12</v>
      </c>
      <c r="F23">
        <v>150</v>
      </c>
      <c r="G23">
        <v>169</v>
      </c>
      <c r="H23" s="3">
        <f t="shared" ref="H23:H31" si="1">G23/F23</f>
        <v>1.1266666666666667</v>
      </c>
      <c r="I23" t="s">
        <v>13</v>
      </c>
    </row>
    <row r="24" spans="1:9" x14ac:dyDescent="0.25">
      <c r="A24">
        <v>2026</v>
      </c>
      <c r="B24" t="s">
        <v>22</v>
      </c>
      <c r="C24" t="s">
        <v>15</v>
      </c>
      <c r="D24" t="s">
        <v>11</v>
      </c>
      <c r="E24" t="s">
        <v>12</v>
      </c>
      <c r="F24">
        <v>60</v>
      </c>
      <c r="G24">
        <v>11</v>
      </c>
      <c r="H24" s="3">
        <f t="shared" si="1"/>
        <v>0.18333333333333332</v>
      </c>
      <c r="I24" t="s">
        <v>13</v>
      </c>
    </row>
    <row r="25" spans="1:9" x14ac:dyDescent="0.25">
      <c r="A25">
        <v>2026</v>
      </c>
      <c r="B25" t="s">
        <v>22</v>
      </c>
      <c r="C25" t="s">
        <v>16</v>
      </c>
      <c r="D25" t="s">
        <v>11</v>
      </c>
      <c r="E25" t="s">
        <v>12</v>
      </c>
      <c r="F25" s="4">
        <v>100000</v>
      </c>
      <c r="G25" s="4">
        <v>0</v>
      </c>
      <c r="H25" s="3">
        <f t="shared" si="1"/>
        <v>0</v>
      </c>
      <c r="I25" t="s">
        <v>13</v>
      </c>
    </row>
    <row r="26" spans="1:9" x14ac:dyDescent="0.25">
      <c r="A26">
        <v>2026</v>
      </c>
      <c r="B26" t="s">
        <v>22</v>
      </c>
      <c r="C26" t="s">
        <v>10</v>
      </c>
      <c r="D26" t="s">
        <v>17</v>
      </c>
      <c r="E26" t="s">
        <v>18</v>
      </c>
      <c r="F26">
        <v>12</v>
      </c>
      <c r="G26">
        <v>15</v>
      </c>
      <c r="H26" s="3">
        <f t="shared" si="1"/>
        <v>1.25</v>
      </c>
      <c r="I26" t="s">
        <v>13</v>
      </c>
    </row>
    <row r="27" spans="1:9" x14ac:dyDescent="0.25">
      <c r="A27">
        <v>2026</v>
      </c>
      <c r="B27" t="s">
        <v>22</v>
      </c>
      <c r="C27" t="s">
        <v>14</v>
      </c>
      <c r="D27" t="s">
        <v>17</v>
      </c>
      <c r="E27" t="s">
        <v>18</v>
      </c>
      <c r="F27">
        <v>24</v>
      </c>
      <c r="G27">
        <v>33</v>
      </c>
      <c r="H27" s="3">
        <f t="shared" si="1"/>
        <v>1.375</v>
      </c>
      <c r="I27" t="s">
        <v>13</v>
      </c>
    </row>
    <row r="28" spans="1:9" x14ac:dyDescent="0.25">
      <c r="A28">
        <v>2026</v>
      </c>
      <c r="B28" t="s">
        <v>22</v>
      </c>
      <c r="C28" t="s">
        <v>10</v>
      </c>
      <c r="D28" t="s">
        <v>17</v>
      </c>
      <c r="E28" t="s">
        <v>19</v>
      </c>
      <c r="F28">
        <v>19</v>
      </c>
      <c r="G28">
        <v>18</v>
      </c>
      <c r="H28" s="3">
        <f t="shared" si="1"/>
        <v>0.94736842105263153</v>
      </c>
      <c r="I28" t="s">
        <v>13</v>
      </c>
    </row>
    <row r="29" spans="1:9" x14ac:dyDescent="0.25">
      <c r="A29">
        <v>2026</v>
      </c>
      <c r="B29" t="s">
        <v>22</v>
      </c>
      <c r="C29" t="s">
        <v>14</v>
      </c>
      <c r="D29" t="s">
        <v>17</v>
      </c>
      <c r="E29" t="s">
        <v>19</v>
      </c>
      <c r="F29">
        <v>38</v>
      </c>
      <c r="G29">
        <v>57</v>
      </c>
      <c r="H29" s="3">
        <f t="shared" si="1"/>
        <v>1.5</v>
      </c>
      <c r="I29" t="s">
        <v>13</v>
      </c>
    </row>
    <row r="30" spans="1:9" x14ac:dyDescent="0.25">
      <c r="A30">
        <v>2026</v>
      </c>
      <c r="B30" t="s">
        <v>22</v>
      </c>
      <c r="C30" t="s">
        <v>10</v>
      </c>
      <c r="D30" t="s">
        <v>17</v>
      </c>
      <c r="E30" t="s">
        <v>20</v>
      </c>
      <c r="F30">
        <v>25</v>
      </c>
      <c r="G30">
        <v>14</v>
      </c>
      <c r="H30" s="3">
        <f t="shared" si="1"/>
        <v>0.56000000000000005</v>
      </c>
      <c r="I30" t="s">
        <v>13</v>
      </c>
    </row>
    <row r="31" spans="1:9" x14ac:dyDescent="0.25">
      <c r="A31">
        <v>2026</v>
      </c>
      <c r="B31" t="s">
        <v>22</v>
      </c>
      <c r="C31" t="s">
        <v>14</v>
      </c>
      <c r="D31" t="s">
        <v>17</v>
      </c>
      <c r="E31" t="s">
        <v>20</v>
      </c>
      <c r="F31">
        <v>50</v>
      </c>
      <c r="G31">
        <v>79</v>
      </c>
      <c r="H31" s="3">
        <f t="shared" si="1"/>
        <v>1.58</v>
      </c>
      <c r="I31" t="s">
        <v>13</v>
      </c>
    </row>
    <row r="32" spans="1:9" x14ac:dyDescent="0.25">
      <c r="A32">
        <v>2026</v>
      </c>
      <c r="B32" t="s">
        <v>23</v>
      </c>
      <c r="C32" t="s">
        <v>10</v>
      </c>
      <c r="D32" t="s">
        <v>11</v>
      </c>
      <c r="E32" t="s">
        <v>12</v>
      </c>
      <c r="F32">
        <v>75</v>
      </c>
      <c r="G32">
        <v>52.5</v>
      </c>
      <c r="H32" s="3">
        <f>G32/F32</f>
        <v>0.7</v>
      </c>
    </row>
    <row r="33" spans="1:8" x14ac:dyDescent="0.25">
      <c r="A33">
        <v>2026</v>
      </c>
      <c r="B33" t="s">
        <v>23</v>
      </c>
      <c r="C33" t="s">
        <v>14</v>
      </c>
      <c r="D33" t="s">
        <v>11</v>
      </c>
      <c r="E33" t="s">
        <v>12</v>
      </c>
      <c r="F33">
        <v>150</v>
      </c>
      <c r="G33">
        <v>163</v>
      </c>
      <c r="H33" s="3">
        <f t="shared" ref="H33:H41" si="2">G33/F33</f>
        <v>1.0866666666666667</v>
      </c>
    </row>
    <row r="34" spans="1:8" x14ac:dyDescent="0.25">
      <c r="A34">
        <v>2026</v>
      </c>
      <c r="B34" t="s">
        <v>23</v>
      </c>
      <c r="C34" t="s">
        <v>15</v>
      </c>
      <c r="D34" t="s">
        <v>11</v>
      </c>
      <c r="E34" t="s">
        <v>12</v>
      </c>
      <c r="F34">
        <v>60</v>
      </c>
      <c r="G34">
        <v>3</v>
      </c>
      <c r="H34" s="3">
        <f t="shared" si="2"/>
        <v>0.05</v>
      </c>
    </row>
    <row r="35" spans="1:8" x14ac:dyDescent="0.25">
      <c r="A35">
        <v>2026</v>
      </c>
      <c r="B35" t="s">
        <v>23</v>
      </c>
      <c r="C35" t="s">
        <v>16</v>
      </c>
      <c r="D35" t="s">
        <v>11</v>
      </c>
      <c r="E35" t="s">
        <v>12</v>
      </c>
      <c r="F35" s="4">
        <v>100000</v>
      </c>
      <c r="G35" s="4">
        <v>2153085</v>
      </c>
      <c r="H35" s="3">
        <f t="shared" si="2"/>
        <v>21.530850000000001</v>
      </c>
    </row>
    <row r="36" spans="1:8" x14ac:dyDescent="0.25">
      <c r="A36">
        <v>2026</v>
      </c>
      <c r="B36" t="s">
        <v>23</v>
      </c>
      <c r="C36" t="s">
        <v>10</v>
      </c>
      <c r="D36" t="s">
        <v>17</v>
      </c>
      <c r="E36" t="s">
        <v>18</v>
      </c>
      <c r="F36">
        <v>25</v>
      </c>
      <c r="G36">
        <v>16</v>
      </c>
      <c r="H36" s="3">
        <f t="shared" si="2"/>
        <v>0.64</v>
      </c>
    </row>
    <row r="37" spans="1:8" x14ac:dyDescent="0.25">
      <c r="A37">
        <v>2026</v>
      </c>
      <c r="B37" t="s">
        <v>23</v>
      </c>
      <c r="C37" t="s">
        <v>14</v>
      </c>
      <c r="D37" t="s">
        <v>17</v>
      </c>
      <c r="E37" t="s">
        <v>18</v>
      </c>
      <c r="F37">
        <v>50</v>
      </c>
      <c r="G37">
        <v>51</v>
      </c>
      <c r="H37" s="3">
        <f t="shared" si="2"/>
        <v>1.02</v>
      </c>
    </row>
    <row r="38" spans="1:8" x14ac:dyDescent="0.25">
      <c r="A38">
        <v>2026</v>
      </c>
      <c r="B38" t="s">
        <v>23</v>
      </c>
      <c r="C38" t="s">
        <v>10</v>
      </c>
      <c r="D38" t="s">
        <v>17</v>
      </c>
      <c r="E38" t="s">
        <v>19</v>
      </c>
      <c r="F38">
        <v>25</v>
      </c>
      <c r="G38">
        <v>22</v>
      </c>
      <c r="H38" s="3">
        <f t="shared" si="2"/>
        <v>0.88</v>
      </c>
    </row>
    <row r="39" spans="1:8" x14ac:dyDescent="0.25">
      <c r="A39">
        <v>2026</v>
      </c>
      <c r="B39" t="s">
        <v>23</v>
      </c>
      <c r="C39" t="s">
        <v>14</v>
      </c>
      <c r="D39" t="s">
        <v>17</v>
      </c>
      <c r="E39" t="s">
        <v>19</v>
      </c>
      <c r="F39">
        <v>50</v>
      </c>
      <c r="G39">
        <v>57</v>
      </c>
      <c r="H39" s="3">
        <f t="shared" si="2"/>
        <v>1.1399999999999999</v>
      </c>
    </row>
    <row r="40" spans="1:8" x14ac:dyDescent="0.25">
      <c r="A40">
        <v>2026</v>
      </c>
      <c r="B40" t="s">
        <v>23</v>
      </c>
      <c r="C40" t="s">
        <v>10</v>
      </c>
      <c r="D40" t="s">
        <v>17</v>
      </c>
      <c r="E40" t="s">
        <v>20</v>
      </c>
      <c r="F40">
        <v>25</v>
      </c>
      <c r="G40">
        <v>10</v>
      </c>
      <c r="H40" s="3">
        <f t="shared" si="2"/>
        <v>0.4</v>
      </c>
    </row>
    <row r="41" spans="1:8" x14ac:dyDescent="0.25">
      <c r="A41">
        <v>2026</v>
      </c>
      <c r="B41" t="s">
        <v>23</v>
      </c>
      <c r="C41" t="s">
        <v>14</v>
      </c>
      <c r="D41" t="s">
        <v>17</v>
      </c>
      <c r="E41" t="s">
        <v>20</v>
      </c>
      <c r="F41">
        <v>50</v>
      </c>
      <c r="G41">
        <v>50</v>
      </c>
      <c r="H41" s="3">
        <f t="shared" si="2"/>
        <v>1</v>
      </c>
    </row>
    <row r="42" spans="1:8" x14ac:dyDescent="0.25">
      <c r="A42">
        <v>2026</v>
      </c>
      <c r="B42" t="s">
        <v>24</v>
      </c>
      <c r="C42" t="s">
        <v>10</v>
      </c>
      <c r="D42" t="s">
        <v>11</v>
      </c>
      <c r="E42" t="s">
        <v>12</v>
      </c>
      <c r="F42">
        <v>75</v>
      </c>
      <c r="G42">
        <v>75.5</v>
      </c>
      <c r="H42" s="5">
        <f>G42/F42</f>
        <v>1.0066666666666666</v>
      </c>
    </row>
    <row r="43" spans="1:8" x14ac:dyDescent="0.25">
      <c r="A43">
        <v>2026</v>
      </c>
      <c r="B43" t="s">
        <v>24</v>
      </c>
      <c r="C43" t="s">
        <v>14</v>
      </c>
      <c r="D43" t="s">
        <v>11</v>
      </c>
      <c r="E43" t="s">
        <v>12</v>
      </c>
      <c r="F43">
        <v>150</v>
      </c>
      <c r="G43">
        <v>174</v>
      </c>
      <c r="H43" s="5">
        <f t="shared" ref="H43:H45" si="3">G43/F43</f>
        <v>1.1599999999999999</v>
      </c>
    </row>
    <row r="44" spans="1:8" x14ac:dyDescent="0.25">
      <c r="A44">
        <v>2026</v>
      </c>
      <c r="B44" t="s">
        <v>24</v>
      </c>
      <c r="C44" t="s">
        <v>15</v>
      </c>
      <c r="D44" t="s">
        <v>11</v>
      </c>
      <c r="E44" t="s">
        <v>12</v>
      </c>
      <c r="F44">
        <v>60</v>
      </c>
      <c r="G44">
        <v>0</v>
      </c>
      <c r="H44" s="5">
        <f t="shared" si="3"/>
        <v>0</v>
      </c>
    </row>
    <row r="45" spans="1:8" x14ac:dyDescent="0.25">
      <c r="A45">
        <v>2026</v>
      </c>
      <c r="B45" t="s">
        <v>24</v>
      </c>
      <c r="C45" t="s">
        <v>16</v>
      </c>
      <c r="D45" t="s">
        <v>11</v>
      </c>
      <c r="E45" t="s">
        <v>12</v>
      </c>
      <c r="F45" s="4">
        <v>100000</v>
      </c>
      <c r="G45" s="4">
        <v>259090</v>
      </c>
      <c r="H45" s="5">
        <f t="shared" si="3"/>
        <v>2.5909</v>
      </c>
    </row>
    <row r="46" spans="1:8" x14ac:dyDescent="0.25">
      <c r="A46">
        <v>2026</v>
      </c>
      <c r="B46" t="s">
        <v>24</v>
      </c>
      <c r="C46" t="s">
        <v>10</v>
      </c>
      <c r="D46" t="s">
        <v>17</v>
      </c>
      <c r="E46" t="s">
        <v>18</v>
      </c>
      <c r="F46">
        <v>25</v>
      </c>
      <c r="G46">
        <v>20</v>
      </c>
      <c r="H46" s="5">
        <f>G46/F46</f>
        <v>0.8</v>
      </c>
    </row>
    <row r="47" spans="1:8" x14ac:dyDescent="0.25">
      <c r="A47">
        <v>2026</v>
      </c>
      <c r="B47" t="s">
        <v>24</v>
      </c>
      <c r="C47" t="s">
        <v>14</v>
      </c>
      <c r="D47" t="s">
        <v>17</v>
      </c>
      <c r="E47" t="s">
        <v>18</v>
      </c>
      <c r="F47">
        <v>50</v>
      </c>
      <c r="G47">
        <v>52</v>
      </c>
      <c r="H47" s="5">
        <f t="shared" ref="H47:H51" si="4">G47/F47</f>
        <v>1.04</v>
      </c>
    </row>
    <row r="48" spans="1:8" x14ac:dyDescent="0.25">
      <c r="A48">
        <v>2026</v>
      </c>
      <c r="B48" t="s">
        <v>24</v>
      </c>
      <c r="C48" t="s">
        <v>10</v>
      </c>
      <c r="D48" t="s">
        <v>17</v>
      </c>
      <c r="E48" t="s">
        <v>19</v>
      </c>
      <c r="F48">
        <v>25</v>
      </c>
      <c r="G48">
        <v>19</v>
      </c>
      <c r="H48" s="5">
        <f t="shared" si="4"/>
        <v>0.76</v>
      </c>
    </row>
    <row r="49" spans="1:8" x14ac:dyDescent="0.25">
      <c r="A49">
        <v>2026</v>
      </c>
      <c r="B49" t="s">
        <v>24</v>
      </c>
      <c r="C49" t="s">
        <v>14</v>
      </c>
      <c r="D49" t="s">
        <v>17</v>
      </c>
      <c r="E49" t="s">
        <v>19</v>
      </c>
      <c r="F49">
        <v>50</v>
      </c>
      <c r="G49">
        <v>57</v>
      </c>
      <c r="H49" s="5">
        <f t="shared" si="4"/>
        <v>1.1399999999999999</v>
      </c>
    </row>
    <row r="50" spans="1:8" x14ac:dyDescent="0.25">
      <c r="A50">
        <v>2026</v>
      </c>
      <c r="B50" t="s">
        <v>24</v>
      </c>
      <c r="C50" t="s">
        <v>10</v>
      </c>
      <c r="D50" t="s">
        <v>17</v>
      </c>
      <c r="E50" t="s">
        <v>20</v>
      </c>
      <c r="F50">
        <v>25</v>
      </c>
      <c r="G50">
        <v>20</v>
      </c>
      <c r="H50" s="5">
        <f t="shared" si="4"/>
        <v>0.8</v>
      </c>
    </row>
    <row r="51" spans="1:8" x14ac:dyDescent="0.25">
      <c r="A51">
        <v>2026</v>
      </c>
      <c r="B51" t="s">
        <v>24</v>
      </c>
      <c r="C51" t="s">
        <v>14</v>
      </c>
      <c r="D51" t="s">
        <v>17</v>
      </c>
      <c r="E51" t="s">
        <v>20</v>
      </c>
      <c r="F51">
        <v>50</v>
      </c>
      <c r="G51">
        <v>65</v>
      </c>
      <c r="H51" s="5">
        <f t="shared" si="4"/>
        <v>1.3</v>
      </c>
    </row>
    <row r="52" spans="1:8" x14ac:dyDescent="0.25">
      <c r="A52">
        <v>2026</v>
      </c>
      <c r="B52" t="s">
        <v>25</v>
      </c>
      <c r="C52" t="s">
        <v>10</v>
      </c>
      <c r="D52" t="s">
        <v>11</v>
      </c>
      <c r="E52" t="s">
        <v>12</v>
      </c>
      <c r="F52">
        <v>75</v>
      </c>
      <c r="G52">
        <v>75.5</v>
      </c>
      <c r="H52" s="5">
        <f>G52/F52</f>
        <v>1.0066666666666666</v>
      </c>
    </row>
    <row r="53" spans="1:8" x14ac:dyDescent="0.25">
      <c r="A53">
        <v>2026</v>
      </c>
      <c r="B53" t="s">
        <v>25</v>
      </c>
      <c r="C53" t="s">
        <v>14</v>
      </c>
      <c r="D53" t="s">
        <v>11</v>
      </c>
      <c r="E53" t="s">
        <v>12</v>
      </c>
      <c r="F53">
        <v>150</v>
      </c>
      <c r="G53">
        <v>159</v>
      </c>
      <c r="H53" s="5">
        <f t="shared" ref="H53:H61" si="5">G53/F53</f>
        <v>1.06</v>
      </c>
    </row>
    <row r="54" spans="1:8" x14ac:dyDescent="0.25">
      <c r="A54">
        <v>2026</v>
      </c>
      <c r="B54" t="s">
        <v>25</v>
      </c>
      <c r="C54" t="s">
        <v>15</v>
      </c>
      <c r="D54" t="s">
        <v>11</v>
      </c>
      <c r="E54" t="s">
        <v>12</v>
      </c>
      <c r="F54">
        <v>60</v>
      </c>
      <c r="G54">
        <v>0</v>
      </c>
      <c r="H54" s="5">
        <f t="shared" si="5"/>
        <v>0</v>
      </c>
    </row>
    <row r="55" spans="1:8" x14ac:dyDescent="0.25">
      <c r="A55">
        <v>2026</v>
      </c>
      <c r="B55" t="s">
        <v>25</v>
      </c>
      <c r="C55" t="s">
        <v>16</v>
      </c>
      <c r="D55" t="s">
        <v>11</v>
      </c>
      <c r="E55" t="s">
        <v>12</v>
      </c>
      <c r="F55" s="4">
        <v>100000</v>
      </c>
      <c r="G55">
        <v>0</v>
      </c>
      <c r="H55" s="5">
        <f t="shared" si="5"/>
        <v>0</v>
      </c>
    </row>
    <row r="56" spans="1:8" x14ac:dyDescent="0.25">
      <c r="A56">
        <v>2026</v>
      </c>
      <c r="B56" t="s">
        <v>25</v>
      </c>
      <c r="C56" t="s">
        <v>10</v>
      </c>
      <c r="D56" t="s">
        <v>17</v>
      </c>
      <c r="E56" t="s">
        <v>18</v>
      </c>
      <c r="F56">
        <v>25</v>
      </c>
      <c r="G56">
        <v>28</v>
      </c>
      <c r="H56" s="5">
        <f t="shared" si="5"/>
        <v>1.1200000000000001</v>
      </c>
    </row>
    <row r="57" spans="1:8" x14ac:dyDescent="0.25">
      <c r="A57">
        <v>2026</v>
      </c>
      <c r="B57" t="s">
        <v>25</v>
      </c>
      <c r="C57" t="s">
        <v>14</v>
      </c>
      <c r="D57" t="s">
        <v>17</v>
      </c>
      <c r="E57" t="s">
        <v>18</v>
      </c>
      <c r="F57">
        <v>50</v>
      </c>
      <c r="G57">
        <v>83</v>
      </c>
      <c r="H57" s="5">
        <f t="shared" si="5"/>
        <v>1.66</v>
      </c>
    </row>
    <row r="58" spans="1:8" x14ac:dyDescent="0.25">
      <c r="A58">
        <v>2026</v>
      </c>
      <c r="B58" t="s">
        <v>25</v>
      </c>
      <c r="C58" t="s">
        <v>10</v>
      </c>
      <c r="D58" t="s">
        <v>17</v>
      </c>
      <c r="E58" t="s">
        <v>19</v>
      </c>
      <c r="F58">
        <v>25</v>
      </c>
      <c r="G58">
        <v>12</v>
      </c>
      <c r="H58" s="5">
        <f t="shared" si="5"/>
        <v>0.48</v>
      </c>
    </row>
    <row r="59" spans="1:8" x14ac:dyDescent="0.25">
      <c r="A59">
        <v>2026</v>
      </c>
      <c r="B59" t="s">
        <v>25</v>
      </c>
      <c r="C59" t="s">
        <v>14</v>
      </c>
      <c r="D59" t="s">
        <v>17</v>
      </c>
      <c r="E59" t="s">
        <v>19</v>
      </c>
      <c r="F59">
        <v>50</v>
      </c>
      <c r="G59">
        <v>38</v>
      </c>
      <c r="H59" s="5">
        <f t="shared" si="5"/>
        <v>0.76</v>
      </c>
    </row>
    <row r="60" spans="1:8" x14ac:dyDescent="0.25">
      <c r="A60">
        <v>2026</v>
      </c>
      <c r="B60" t="s">
        <v>25</v>
      </c>
      <c r="C60" t="s">
        <v>10</v>
      </c>
      <c r="D60" t="s">
        <v>17</v>
      </c>
      <c r="E60" t="s">
        <v>20</v>
      </c>
      <c r="F60">
        <v>25</v>
      </c>
      <c r="G60">
        <v>17</v>
      </c>
      <c r="H60" s="5">
        <f t="shared" si="5"/>
        <v>0.68</v>
      </c>
    </row>
    <row r="61" spans="1:8" x14ac:dyDescent="0.25">
      <c r="A61">
        <v>2026</v>
      </c>
      <c r="B61" t="s">
        <v>25</v>
      </c>
      <c r="C61" t="s">
        <v>14</v>
      </c>
      <c r="D61" t="s">
        <v>17</v>
      </c>
      <c r="E61" t="s">
        <v>20</v>
      </c>
      <c r="F61">
        <v>50</v>
      </c>
      <c r="G61">
        <v>39</v>
      </c>
      <c r="H61" s="5">
        <f t="shared" si="5"/>
        <v>0.78</v>
      </c>
    </row>
    <row r="62" spans="1:8" x14ac:dyDescent="0.25">
      <c r="A62">
        <v>2026</v>
      </c>
      <c r="B62" t="s">
        <v>26</v>
      </c>
      <c r="C62" t="s">
        <v>10</v>
      </c>
      <c r="D62" t="s">
        <v>11</v>
      </c>
      <c r="E62" t="s">
        <v>12</v>
      </c>
      <c r="F62">
        <v>45</v>
      </c>
      <c r="G62">
        <v>41.5</v>
      </c>
      <c r="H62" s="5">
        <f>G62/F62</f>
        <v>0.92222222222222228</v>
      </c>
    </row>
    <row r="63" spans="1:8" x14ac:dyDescent="0.25">
      <c r="A63">
        <v>2026</v>
      </c>
      <c r="B63" t="s">
        <v>26</v>
      </c>
      <c r="C63" t="s">
        <v>14</v>
      </c>
      <c r="D63" t="s">
        <v>11</v>
      </c>
      <c r="E63" t="s">
        <v>12</v>
      </c>
      <c r="F63">
        <v>150</v>
      </c>
      <c r="G63">
        <v>171</v>
      </c>
      <c r="H63" s="5">
        <f t="shared" ref="H63:H65" si="6">G63/F63</f>
        <v>1.1399999999999999</v>
      </c>
    </row>
    <row r="64" spans="1:8" x14ac:dyDescent="0.25">
      <c r="A64">
        <v>2026</v>
      </c>
      <c r="B64" t="s">
        <v>26</v>
      </c>
      <c r="C64" t="s">
        <v>15</v>
      </c>
      <c r="D64" t="s">
        <v>11</v>
      </c>
      <c r="E64" t="s">
        <v>12</v>
      </c>
      <c r="F64">
        <v>60</v>
      </c>
      <c r="G64">
        <v>0</v>
      </c>
      <c r="H64" s="5">
        <f t="shared" si="6"/>
        <v>0</v>
      </c>
    </row>
    <row r="65" spans="1:8" x14ac:dyDescent="0.25">
      <c r="A65">
        <v>2026</v>
      </c>
      <c r="B65" t="s">
        <v>26</v>
      </c>
      <c r="C65" t="s">
        <v>16</v>
      </c>
      <c r="D65" t="s">
        <v>11</v>
      </c>
      <c r="E65" t="s">
        <v>12</v>
      </c>
      <c r="F65" s="4">
        <v>100000</v>
      </c>
      <c r="G65">
        <v>0</v>
      </c>
      <c r="H65" s="5">
        <f t="shared" si="6"/>
        <v>0</v>
      </c>
    </row>
    <row r="66" spans="1:8" x14ac:dyDescent="0.25">
      <c r="A66">
        <v>2026</v>
      </c>
      <c r="B66" t="s">
        <v>26</v>
      </c>
      <c r="C66" t="s">
        <v>10</v>
      </c>
      <c r="D66" t="s">
        <v>17</v>
      </c>
      <c r="E66" t="s">
        <v>18</v>
      </c>
      <c r="F66">
        <v>25</v>
      </c>
      <c r="G66">
        <v>27</v>
      </c>
      <c r="H66" s="5">
        <f>G66/F66</f>
        <v>1.08</v>
      </c>
    </row>
    <row r="67" spans="1:8" x14ac:dyDescent="0.25">
      <c r="A67">
        <v>2026</v>
      </c>
      <c r="B67" t="s">
        <v>26</v>
      </c>
      <c r="C67" t="s">
        <v>14</v>
      </c>
      <c r="D67" t="s">
        <v>17</v>
      </c>
      <c r="E67" t="s">
        <v>18</v>
      </c>
      <c r="F67">
        <v>50</v>
      </c>
      <c r="G67">
        <v>97</v>
      </c>
      <c r="H67" s="5">
        <f>G67/F67</f>
        <v>1.94</v>
      </c>
    </row>
    <row r="68" spans="1:8" x14ac:dyDescent="0.25">
      <c r="A68">
        <v>2026</v>
      </c>
      <c r="B68" t="s">
        <v>26</v>
      </c>
      <c r="C68" t="s">
        <v>10</v>
      </c>
      <c r="D68" t="s">
        <v>17</v>
      </c>
      <c r="E68" t="s">
        <v>20</v>
      </c>
      <c r="F68">
        <v>25</v>
      </c>
      <c r="G68">
        <v>10</v>
      </c>
      <c r="H68" s="5">
        <f>G68/F68</f>
        <v>0.4</v>
      </c>
    </row>
    <row r="69" spans="1:8" x14ac:dyDescent="0.25">
      <c r="A69">
        <v>2026</v>
      </c>
      <c r="B69" t="s">
        <v>26</v>
      </c>
      <c r="C69" t="s">
        <v>14</v>
      </c>
      <c r="D69" t="s">
        <v>17</v>
      </c>
      <c r="E69" t="s">
        <v>20</v>
      </c>
      <c r="F69">
        <v>50</v>
      </c>
      <c r="G69">
        <v>76</v>
      </c>
      <c r="H69" s="5">
        <f>G69/F69</f>
        <v>1.52</v>
      </c>
    </row>
    <row r="70" spans="1:8" x14ac:dyDescent="0.25">
      <c r="A70">
        <v>2026</v>
      </c>
      <c r="B70" t="s">
        <v>27</v>
      </c>
      <c r="C70" t="s">
        <v>10</v>
      </c>
      <c r="D70" t="s">
        <v>11</v>
      </c>
      <c r="E70" t="s">
        <v>12</v>
      </c>
      <c r="F70">
        <v>75</v>
      </c>
      <c r="G70">
        <v>42</v>
      </c>
      <c r="H70" s="5">
        <f t="shared" ref="H70:H77" si="7">G70/F70</f>
        <v>0.56000000000000005</v>
      </c>
    </row>
    <row r="71" spans="1:8" x14ac:dyDescent="0.25">
      <c r="A71">
        <v>2026</v>
      </c>
      <c r="B71" t="s">
        <v>27</v>
      </c>
      <c r="C71" t="s">
        <v>14</v>
      </c>
      <c r="D71" t="s">
        <v>11</v>
      </c>
      <c r="E71" t="s">
        <v>12</v>
      </c>
      <c r="F71">
        <v>150</v>
      </c>
      <c r="G71">
        <v>141</v>
      </c>
      <c r="H71" s="5">
        <f t="shared" si="7"/>
        <v>0.94</v>
      </c>
    </row>
    <row r="72" spans="1:8" x14ac:dyDescent="0.25">
      <c r="A72">
        <v>2026</v>
      </c>
      <c r="B72" t="s">
        <v>27</v>
      </c>
      <c r="C72" t="s">
        <v>15</v>
      </c>
      <c r="D72" t="s">
        <v>11</v>
      </c>
      <c r="E72" t="s">
        <v>12</v>
      </c>
      <c r="F72">
        <v>60</v>
      </c>
      <c r="G72">
        <v>0</v>
      </c>
      <c r="H72" s="5">
        <f t="shared" si="7"/>
        <v>0</v>
      </c>
    </row>
    <row r="73" spans="1:8" x14ac:dyDescent="0.25">
      <c r="A73">
        <v>2026</v>
      </c>
      <c r="B73" t="s">
        <v>27</v>
      </c>
      <c r="C73" t="s">
        <v>16</v>
      </c>
      <c r="D73" t="s">
        <v>11</v>
      </c>
      <c r="E73" t="s">
        <v>12</v>
      </c>
      <c r="F73" s="4">
        <v>100000</v>
      </c>
      <c r="G73">
        <v>0</v>
      </c>
      <c r="H73" s="5">
        <f t="shared" si="7"/>
        <v>0</v>
      </c>
    </row>
    <row r="74" spans="1:8" x14ac:dyDescent="0.25">
      <c r="A74">
        <v>2026</v>
      </c>
      <c r="B74" t="s">
        <v>27</v>
      </c>
      <c r="C74" t="s">
        <v>10</v>
      </c>
      <c r="D74" t="s">
        <v>17</v>
      </c>
      <c r="E74" t="s">
        <v>18</v>
      </c>
      <c r="F74">
        <v>25</v>
      </c>
      <c r="G74">
        <v>23</v>
      </c>
      <c r="H74" s="5">
        <f t="shared" si="7"/>
        <v>0.92</v>
      </c>
    </row>
    <row r="75" spans="1:8" x14ac:dyDescent="0.25">
      <c r="A75">
        <v>2026</v>
      </c>
      <c r="B75" t="s">
        <v>27</v>
      </c>
      <c r="C75" t="s">
        <v>14</v>
      </c>
      <c r="D75" t="s">
        <v>17</v>
      </c>
      <c r="E75" t="s">
        <v>18</v>
      </c>
      <c r="F75">
        <v>50</v>
      </c>
      <c r="G75">
        <v>69</v>
      </c>
      <c r="H75" s="5">
        <f t="shared" si="7"/>
        <v>1.38</v>
      </c>
    </row>
    <row r="76" spans="1:8" x14ac:dyDescent="0.25">
      <c r="A76">
        <v>2026</v>
      </c>
      <c r="B76" t="s">
        <v>27</v>
      </c>
      <c r="C76" t="s">
        <v>10</v>
      </c>
      <c r="D76" t="s">
        <v>17</v>
      </c>
      <c r="E76" t="s">
        <v>20</v>
      </c>
      <c r="F76">
        <v>25</v>
      </c>
      <c r="G76">
        <v>16</v>
      </c>
      <c r="H76" s="5">
        <f t="shared" si="7"/>
        <v>0.64</v>
      </c>
    </row>
    <row r="77" spans="1:8" x14ac:dyDescent="0.25">
      <c r="A77">
        <v>2026</v>
      </c>
      <c r="B77" t="s">
        <v>27</v>
      </c>
      <c r="C77" t="s">
        <v>14</v>
      </c>
      <c r="D77" t="s">
        <v>17</v>
      </c>
      <c r="E77" t="s">
        <v>20</v>
      </c>
      <c r="F77">
        <v>50</v>
      </c>
      <c r="G77">
        <v>68</v>
      </c>
      <c r="H77" s="5">
        <f t="shared" si="7"/>
        <v>1.36</v>
      </c>
    </row>
  </sheetData>
  <autoFilter ref="A1:I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Paola Andrea Morales Serna</cp:lastModifiedBy>
  <cp:revision/>
  <dcterms:created xsi:type="dcterms:W3CDTF">2026-02-17T16:01:15Z</dcterms:created>
  <dcterms:modified xsi:type="dcterms:W3CDTF">2026-09-21T15:56:52Z</dcterms:modified>
  <cp:category/>
  <cp:contentStatus/>
</cp:coreProperties>
</file>